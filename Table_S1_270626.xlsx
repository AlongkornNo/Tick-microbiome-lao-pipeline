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<sst xmlns="http://schemas.openxmlformats.org/spreadsheetml/2006/main" count="41" uniqueCount="41">
  <si>
    <t xml:space="preserve">Table S1. Summary of 16S rRNA gene sequencing reads obtained from 30 Rhipicephalus microplus samples.</t>
  </si>
  <si>
    <t xml:space="preserve">sample-id</t>
  </si>
  <si>
    <t xml:space="preserve">input</t>
  </si>
  <si>
    <t xml:space="preserve">filtered</t>
  </si>
  <si>
    <t xml:space="preserve">percentage of input passed filter</t>
  </si>
  <si>
    <t xml:space="preserve">denoised</t>
  </si>
  <si>
    <t xml:space="preserve">merged</t>
  </si>
  <si>
    <t xml:space="preserve">percentage of input merged</t>
  </si>
  <si>
    <t xml:space="preserve">non-chimeric</t>
  </si>
  <si>
    <t xml:space="preserve">percentage of input non-chimeric</t>
  </si>
  <si>
    <t xml:space="preserve">RM1</t>
  </si>
  <si>
    <t xml:space="preserve">RM2</t>
  </si>
  <si>
    <t xml:space="preserve">RM3</t>
  </si>
  <si>
    <t xml:space="preserve">RM4</t>
  </si>
  <si>
    <t xml:space="preserve">RM5</t>
  </si>
  <si>
    <t xml:space="preserve">RM6</t>
  </si>
  <si>
    <t xml:space="preserve">RM7</t>
  </si>
  <si>
    <t xml:space="preserve">RM8</t>
  </si>
  <si>
    <t xml:space="preserve">RM9</t>
  </si>
  <si>
    <t xml:space="preserve">RM10</t>
  </si>
  <si>
    <t xml:space="preserve">RM11</t>
  </si>
  <si>
    <t xml:space="preserve">RM12</t>
  </si>
  <si>
    <t xml:space="preserve">RM13</t>
  </si>
  <si>
    <t xml:space="preserve">RM14</t>
  </si>
  <si>
    <t xml:space="preserve">RM15</t>
  </si>
  <si>
    <t xml:space="preserve">RM16</t>
  </si>
  <si>
    <t xml:space="preserve">RM17</t>
  </si>
  <si>
    <t xml:space="preserve">RM18</t>
  </si>
  <si>
    <t xml:space="preserve">RM19</t>
  </si>
  <si>
    <t xml:space="preserve">RM20</t>
  </si>
  <si>
    <t xml:space="preserve">RM21</t>
  </si>
  <si>
    <t xml:space="preserve">RM22</t>
  </si>
  <si>
    <t xml:space="preserve">RM23</t>
  </si>
  <si>
    <t xml:space="preserve">RM24</t>
  </si>
  <si>
    <t xml:space="preserve">RM25</t>
  </si>
  <si>
    <t xml:space="preserve">RM26</t>
  </si>
  <si>
    <t xml:space="preserve">RM27</t>
  </si>
  <si>
    <t xml:space="preserve">RM28</t>
  </si>
  <si>
    <t xml:space="preserve">RM29</t>
  </si>
  <si>
    <t xml:space="preserve">RM30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</si>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</sst>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b val="true"/>
      <sz val="12"/>
      <color theme="1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0.4921875" defaultRowHeight="15.75" zeroHeight="false" outlineLevelRow="0" outlineLevelCol="0"/>
  <cols>
    <col collapsed="false" customWidth="true" hidden="false" outlineLevel="0" max="4" min="4" style="0" width="20.16"/>
    <col collapsed="false" customWidth="true" hidden="false" outlineLevel="0" max="7" min="7" style="0" width="29.16"/>
    <col collapsed="false" customWidth="true" hidden="false" outlineLevel="0" max="8" min="8" style="0" width="18.16"/>
    <col collapsed="false" customWidth="true" hidden="false" outlineLevel="0" max="9" min="9" style="0" width="29.83"/>
  </cols>
  <sheetData>
    <row r="1" customFormat="false" ht="15.75" hidden="false" customHeight="false" outlineLevel="0" collapsed="false">
      <c r="A1" s="0" t="s">
        <v>0</v>
      </c>
    </row>
    <row r="2" customFormat="false" ht="15.75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customFormat="false" ht="15.75" hidden="false" customHeight="false" outlineLevel="0" collapsed="false">
      <c r="A3" s="2" t="s">
        <v>10</v>
      </c>
      <c r="B3" s="2" t="n">
        <v>218638</v>
      </c>
      <c r="C3" s="2" t="n">
        <v>202297</v>
      </c>
      <c r="D3" s="2" t="n">
        <v>92.53</v>
      </c>
      <c r="E3" s="2" t="n">
        <v>201895</v>
      </c>
      <c r="F3" s="2" t="n">
        <v>200499</v>
      </c>
      <c r="G3" s="2" t="n">
        <v>91.7</v>
      </c>
      <c r="H3" s="2" t="n">
        <v>171704</v>
      </c>
      <c r="I3" s="2" t="n">
        <v>78.53</v>
      </c>
    </row>
    <row r="4" customFormat="false" ht="15.75" hidden="false" customHeight="false" outlineLevel="0" collapsed="false">
      <c r="A4" s="2" t="s">
        <v>11</v>
      </c>
      <c r="B4" s="2" t="n">
        <v>205918</v>
      </c>
      <c r="C4" s="2" t="n">
        <v>190130</v>
      </c>
      <c r="D4" s="2" t="n">
        <v>92.33</v>
      </c>
      <c r="E4" s="2" t="n">
        <v>189619</v>
      </c>
      <c r="F4" s="2" t="n">
        <v>188644</v>
      </c>
      <c r="G4" s="2" t="n">
        <v>91.61</v>
      </c>
      <c r="H4" s="2" t="n">
        <v>170999</v>
      </c>
      <c r="I4" s="2" t="n">
        <v>83.04</v>
      </c>
    </row>
    <row r="5" customFormat="false" ht="15.75" hidden="false" customHeight="false" outlineLevel="0" collapsed="false">
      <c r="A5" s="2" t="s">
        <v>12</v>
      </c>
      <c r="B5" s="2" t="n">
        <v>212421</v>
      </c>
      <c r="C5" s="2" t="n">
        <v>195619</v>
      </c>
      <c r="D5" s="2" t="n">
        <v>92.09</v>
      </c>
      <c r="E5" s="2" t="n">
        <v>193546</v>
      </c>
      <c r="F5" s="2" t="n">
        <v>186373</v>
      </c>
      <c r="G5" s="2" t="n">
        <v>87.74</v>
      </c>
      <c r="H5" s="2" t="n">
        <v>153753</v>
      </c>
      <c r="I5" s="2" t="n">
        <v>72.38</v>
      </c>
    </row>
    <row r="6" customFormat="false" ht="15.75" hidden="false" customHeight="false" outlineLevel="0" collapsed="false">
      <c r="A6" s="2" t="s">
        <v>13</v>
      </c>
      <c r="B6" s="2" t="n">
        <v>203187</v>
      </c>
      <c r="C6" s="2" t="n">
        <v>186936</v>
      </c>
      <c r="D6" s="2" t="n">
        <v>92</v>
      </c>
      <c r="E6" s="2" t="n">
        <v>185942</v>
      </c>
      <c r="F6" s="2" t="n">
        <v>181754</v>
      </c>
      <c r="G6" s="2" t="n">
        <v>89.45</v>
      </c>
      <c r="H6" s="2" t="n">
        <v>164548</v>
      </c>
      <c r="I6" s="2" t="n">
        <v>80.98</v>
      </c>
    </row>
    <row r="7" customFormat="false" ht="15.75" hidden="false" customHeight="false" outlineLevel="0" collapsed="false">
      <c r="A7" s="2" t="s">
        <v>14</v>
      </c>
      <c r="B7" s="2" t="n">
        <v>203277</v>
      </c>
      <c r="C7" s="2" t="n">
        <v>187845</v>
      </c>
      <c r="D7" s="2" t="n">
        <v>92.41</v>
      </c>
      <c r="E7" s="2" t="n">
        <v>187653</v>
      </c>
      <c r="F7" s="2" t="n">
        <v>186908</v>
      </c>
      <c r="G7" s="2" t="n">
        <v>91.95</v>
      </c>
      <c r="H7" s="2" t="n">
        <v>179268</v>
      </c>
      <c r="I7" s="2" t="n">
        <v>88.19</v>
      </c>
    </row>
    <row r="8" customFormat="false" ht="15.75" hidden="false" customHeight="false" outlineLevel="0" collapsed="false">
      <c r="A8" s="2" t="s">
        <v>15</v>
      </c>
      <c r="B8" s="2" t="n">
        <v>203147</v>
      </c>
      <c r="C8" s="2" t="n">
        <v>185786</v>
      </c>
      <c r="D8" s="2" t="n">
        <v>91.45</v>
      </c>
      <c r="E8" s="2" t="n">
        <v>185578</v>
      </c>
      <c r="F8" s="2" t="n">
        <v>184902</v>
      </c>
      <c r="G8" s="2" t="n">
        <v>91.02</v>
      </c>
      <c r="H8" s="2" t="n">
        <v>179515</v>
      </c>
      <c r="I8" s="2" t="n">
        <v>88.37</v>
      </c>
    </row>
    <row r="9" customFormat="false" ht="15.75" hidden="false" customHeight="false" outlineLevel="0" collapsed="false">
      <c r="A9" s="2" t="s">
        <v>16</v>
      </c>
      <c r="B9" s="2" t="n">
        <v>202371</v>
      </c>
      <c r="C9" s="2" t="n">
        <v>185899</v>
      </c>
      <c r="D9" s="2" t="n">
        <v>91.86</v>
      </c>
      <c r="E9" s="2" t="n">
        <v>185372</v>
      </c>
      <c r="F9" s="2" t="n">
        <v>182966</v>
      </c>
      <c r="G9" s="2" t="n">
        <v>90.41</v>
      </c>
      <c r="H9" s="2" t="n">
        <v>158331</v>
      </c>
      <c r="I9" s="2" t="n">
        <v>78.24</v>
      </c>
    </row>
    <row r="10" customFormat="false" ht="15.75" hidden="false" customHeight="false" outlineLevel="0" collapsed="false">
      <c r="A10" s="2" t="s">
        <v>17</v>
      </c>
      <c r="B10" s="2" t="n">
        <v>215272</v>
      </c>
      <c r="C10" s="2" t="n">
        <v>196933</v>
      </c>
      <c r="D10" s="2" t="n">
        <v>91.48</v>
      </c>
      <c r="E10" s="2" t="n">
        <v>196291</v>
      </c>
      <c r="F10" s="2" t="n">
        <v>193835</v>
      </c>
      <c r="G10" s="2" t="n">
        <v>90.04</v>
      </c>
      <c r="H10" s="2" t="n">
        <v>172227</v>
      </c>
      <c r="I10" s="2" t="n">
        <v>80</v>
      </c>
    </row>
    <row r="11" customFormat="false" ht="15.75" hidden="false" customHeight="false" outlineLevel="0" collapsed="false">
      <c r="A11" s="2" t="s">
        <v>18</v>
      </c>
      <c r="B11" s="2" t="n">
        <v>213713</v>
      </c>
      <c r="C11" s="2" t="n">
        <v>196110</v>
      </c>
      <c r="D11" s="2" t="n">
        <v>91.76</v>
      </c>
      <c r="E11" s="2" t="n">
        <v>194860</v>
      </c>
      <c r="F11" s="2" t="n">
        <v>189219</v>
      </c>
      <c r="G11" s="2" t="n">
        <v>88.54</v>
      </c>
      <c r="H11" s="2" t="n">
        <v>157018</v>
      </c>
      <c r="I11" s="2" t="n">
        <v>73.47</v>
      </c>
    </row>
    <row r="12" customFormat="false" ht="15.75" hidden="false" customHeight="false" outlineLevel="0" collapsed="false">
      <c r="A12" s="2" t="s">
        <v>19</v>
      </c>
      <c r="B12" s="2" t="n">
        <v>202578</v>
      </c>
      <c r="C12" s="2" t="n">
        <v>181454</v>
      </c>
      <c r="D12" s="2" t="n">
        <v>89.57</v>
      </c>
      <c r="E12" s="2" t="n">
        <v>181246</v>
      </c>
      <c r="F12" s="2" t="n">
        <v>180523</v>
      </c>
      <c r="G12" s="2" t="n">
        <v>89.11</v>
      </c>
      <c r="H12" s="2" t="n">
        <v>170844</v>
      </c>
      <c r="I12" s="2" t="n">
        <v>84.33</v>
      </c>
    </row>
    <row r="13" customFormat="false" ht="15.75" hidden="false" customHeight="false" outlineLevel="0" collapsed="false">
      <c r="A13" s="2" t="s">
        <v>20</v>
      </c>
      <c r="B13" s="2" t="n">
        <v>203448</v>
      </c>
      <c r="C13" s="2" t="n">
        <v>187845</v>
      </c>
      <c r="D13" s="2" t="n">
        <v>92.33</v>
      </c>
      <c r="E13" s="2" t="n">
        <v>187293</v>
      </c>
      <c r="F13" s="2" t="n">
        <v>185427</v>
      </c>
      <c r="G13" s="2" t="n">
        <v>91.14</v>
      </c>
      <c r="H13" s="2" t="n">
        <v>168827</v>
      </c>
      <c r="I13" s="2" t="n">
        <v>82.98</v>
      </c>
    </row>
    <row r="14" customFormat="false" ht="15.75" hidden="false" customHeight="false" outlineLevel="0" collapsed="false">
      <c r="A14" s="2" t="s">
        <v>21</v>
      </c>
      <c r="B14" s="2" t="n">
        <v>217036</v>
      </c>
      <c r="C14" s="2" t="n">
        <v>200580</v>
      </c>
      <c r="D14" s="2" t="n">
        <v>92.42</v>
      </c>
      <c r="E14" s="2" t="n">
        <v>199810</v>
      </c>
      <c r="F14" s="2" t="n">
        <v>196636</v>
      </c>
      <c r="G14" s="2" t="n">
        <v>90.6</v>
      </c>
      <c r="H14" s="2" t="n">
        <v>180995</v>
      </c>
      <c r="I14" s="2" t="n">
        <v>83.39</v>
      </c>
    </row>
    <row r="15" customFormat="false" ht="15.75" hidden="false" customHeight="false" outlineLevel="0" collapsed="false">
      <c r="A15" s="2" t="s">
        <v>22</v>
      </c>
      <c r="B15" s="2" t="n">
        <v>206160</v>
      </c>
      <c r="C15" s="2" t="n">
        <v>193622</v>
      </c>
      <c r="D15" s="2" t="n">
        <v>93.92</v>
      </c>
      <c r="E15" s="2" t="n">
        <v>193535</v>
      </c>
      <c r="F15" s="2" t="n">
        <v>193366</v>
      </c>
      <c r="G15" s="2" t="n">
        <v>93.79</v>
      </c>
      <c r="H15" s="2" t="n">
        <v>193303</v>
      </c>
      <c r="I15" s="2" t="n">
        <v>93.76</v>
      </c>
    </row>
    <row r="16" customFormat="false" ht="15.75" hidden="false" customHeight="false" outlineLevel="0" collapsed="false">
      <c r="A16" s="2" t="s">
        <v>23</v>
      </c>
      <c r="B16" s="2" t="n">
        <v>206102</v>
      </c>
      <c r="C16" s="2" t="n">
        <v>192895</v>
      </c>
      <c r="D16" s="2" t="n">
        <v>93.59</v>
      </c>
      <c r="E16" s="2" t="n">
        <v>192672</v>
      </c>
      <c r="F16" s="2" t="n">
        <v>192239</v>
      </c>
      <c r="G16" s="2" t="n">
        <v>93.27</v>
      </c>
      <c r="H16" s="2" t="n">
        <v>189259</v>
      </c>
      <c r="I16" s="2" t="n">
        <v>91.83</v>
      </c>
    </row>
    <row r="17" customFormat="false" ht="15.75" hidden="false" customHeight="false" outlineLevel="0" collapsed="false">
      <c r="A17" s="2" t="s">
        <v>24</v>
      </c>
      <c r="B17" s="2" t="n">
        <v>152601</v>
      </c>
      <c r="C17" s="2" t="n">
        <v>143776</v>
      </c>
      <c r="D17" s="2" t="n">
        <v>94.22</v>
      </c>
      <c r="E17" s="2" t="n">
        <v>143697</v>
      </c>
      <c r="F17" s="2" t="n">
        <v>143378</v>
      </c>
      <c r="G17" s="2" t="n">
        <v>93.96</v>
      </c>
      <c r="H17" s="2" t="n">
        <v>142143</v>
      </c>
      <c r="I17" s="2" t="n">
        <v>93.15</v>
      </c>
    </row>
    <row r="18" customFormat="false" ht="15.75" hidden="false" customHeight="false" outlineLevel="0" collapsed="false">
      <c r="A18" s="2" t="s">
        <v>25</v>
      </c>
      <c r="B18" s="2" t="n">
        <v>204693</v>
      </c>
      <c r="C18" s="2" t="n">
        <v>189319</v>
      </c>
      <c r="D18" s="2" t="n">
        <v>92.49</v>
      </c>
      <c r="E18" s="2" t="n">
        <v>188559</v>
      </c>
      <c r="F18" s="2" t="n">
        <v>185759</v>
      </c>
      <c r="G18" s="2" t="n">
        <v>90.75</v>
      </c>
      <c r="H18" s="2" t="n">
        <v>158938</v>
      </c>
      <c r="I18" s="2" t="n">
        <v>77.65</v>
      </c>
    </row>
    <row r="19" customFormat="false" ht="15.75" hidden="false" customHeight="false" outlineLevel="0" collapsed="false">
      <c r="A19" s="2" t="s">
        <v>26</v>
      </c>
      <c r="B19" s="2" t="n">
        <v>219034</v>
      </c>
      <c r="C19" s="2" t="n">
        <v>202165</v>
      </c>
      <c r="D19" s="2" t="n">
        <v>92.3</v>
      </c>
      <c r="E19" s="2" t="n">
        <v>201603</v>
      </c>
      <c r="F19" s="2" t="n">
        <v>199316</v>
      </c>
      <c r="G19" s="2" t="n">
        <v>91</v>
      </c>
      <c r="H19" s="2" t="n">
        <v>193236</v>
      </c>
      <c r="I19" s="2" t="n">
        <v>88.22</v>
      </c>
    </row>
    <row r="20" customFormat="false" ht="15.75" hidden="false" customHeight="false" outlineLevel="0" collapsed="false">
      <c r="A20" s="2" t="s">
        <v>27</v>
      </c>
      <c r="B20" s="2" t="n">
        <v>205390</v>
      </c>
      <c r="C20" s="2" t="n">
        <v>188391</v>
      </c>
      <c r="D20" s="2" t="n">
        <v>91.72</v>
      </c>
      <c r="E20" s="2" t="n">
        <v>188072</v>
      </c>
      <c r="F20" s="2" t="n">
        <v>187197</v>
      </c>
      <c r="G20" s="2" t="n">
        <v>91.14</v>
      </c>
      <c r="H20" s="2" t="n">
        <v>183849</v>
      </c>
      <c r="I20" s="2" t="n">
        <v>89.51</v>
      </c>
    </row>
    <row r="21" customFormat="false" ht="15.75" hidden="false" customHeight="false" outlineLevel="0" collapsed="false">
      <c r="A21" s="2" t="s">
        <v>28</v>
      </c>
      <c r="B21" s="2" t="n">
        <v>204978</v>
      </c>
      <c r="C21" s="2" t="n">
        <v>192387</v>
      </c>
      <c r="D21" s="2" t="n">
        <v>93.86</v>
      </c>
      <c r="E21" s="2" t="n">
        <v>191298</v>
      </c>
      <c r="F21" s="2" t="n">
        <v>186319</v>
      </c>
      <c r="G21" s="2" t="n">
        <v>90.9</v>
      </c>
      <c r="H21" s="2" t="n">
        <v>163310</v>
      </c>
      <c r="I21" s="2" t="n">
        <v>79.67</v>
      </c>
    </row>
    <row r="22" customFormat="false" ht="15.75" hidden="false" customHeight="false" outlineLevel="0" collapsed="false">
      <c r="A22" s="2" t="s">
        <v>29</v>
      </c>
      <c r="B22" s="2" t="n">
        <v>202238</v>
      </c>
      <c r="C22" s="2" t="n">
        <v>189673</v>
      </c>
      <c r="D22" s="2" t="n">
        <v>93.79</v>
      </c>
      <c r="E22" s="2" t="n">
        <v>189478</v>
      </c>
      <c r="F22" s="2" t="n">
        <v>188880</v>
      </c>
      <c r="G22" s="2" t="n">
        <v>93.39</v>
      </c>
      <c r="H22" s="2" t="n">
        <v>187223</v>
      </c>
      <c r="I22" s="2" t="n">
        <v>92.58</v>
      </c>
    </row>
    <row r="23" customFormat="false" ht="15.75" hidden="false" customHeight="false" outlineLevel="0" collapsed="false">
      <c r="A23" s="2" t="s">
        <v>30</v>
      </c>
      <c r="B23" s="2" t="n">
        <v>206316</v>
      </c>
      <c r="C23" s="2" t="n">
        <v>190141</v>
      </c>
      <c r="D23" s="2" t="n">
        <v>92.16</v>
      </c>
      <c r="E23" s="2" t="n">
        <v>189729</v>
      </c>
      <c r="F23" s="2" t="n">
        <v>185221</v>
      </c>
      <c r="G23" s="2" t="n">
        <v>89.78</v>
      </c>
      <c r="H23" s="2" t="n">
        <v>181452</v>
      </c>
      <c r="I23" s="2" t="n">
        <v>87.95</v>
      </c>
    </row>
    <row r="24" customFormat="false" ht="15.75" hidden="false" customHeight="false" outlineLevel="0" collapsed="false">
      <c r="A24" s="2" t="s">
        <v>31</v>
      </c>
      <c r="B24" s="2" t="n">
        <v>205785</v>
      </c>
      <c r="C24" s="2" t="n">
        <v>182941</v>
      </c>
      <c r="D24" s="2" t="n">
        <v>88.9</v>
      </c>
      <c r="E24" s="2" t="n">
        <v>182603</v>
      </c>
      <c r="F24" s="2" t="n">
        <v>152077</v>
      </c>
      <c r="G24" s="2" t="n">
        <v>73.9</v>
      </c>
      <c r="H24" s="2" t="n">
        <v>150116</v>
      </c>
      <c r="I24" s="2" t="n">
        <v>72.95</v>
      </c>
    </row>
    <row r="25" customFormat="false" ht="15.75" hidden="false" customHeight="false" outlineLevel="0" collapsed="false">
      <c r="A25" s="2" t="s">
        <v>32</v>
      </c>
      <c r="B25" s="2" t="n">
        <v>174582</v>
      </c>
      <c r="C25" s="2" t="n">
        <v>158776</v>
      </c>
      <c r="D25" s="2" t="n">
        <v>90.95</v>
      </c>
      <c r="E25" s="2" t="n">
        <v>156707</v>
      </c>
      <c r="F25" s="2" t="n">
        <v>148102</v>
      </c>
      <c r="G25" s="2" t="n">
        <v>84.83</v>
      </c>
      <c r="H25" s="2" t="n">
        <v>123862</v>
      </c>
      <c r="I25" s="2" t="n">
        <v>70.95</v>
      </c>
    </row>
    <row r="26" customFormat="false" ht="15.75" hidden="false" customHeight="false" outlineLevel="0" collapsed="false">
      <c r="A26" s="2" t="s">
        <v>33</v>
      </c>
      <c r="B26" s="2" t="n">
        <v>204769</v>
      </c>
      <c r="C26" s="2" t="n">
        <v>188223</v>
      </c>
      <c r="D26" s="2" t="n">
        <v>91.92</v>
      </c>
      <c r="E26" s="2" t="n">
        <v>187914</v>
      </c>
      <c r="F26" s="2" t="n">
        <v>186928</v>
      </c>
      <c r="G26" s="2" t="n">
        <v>91.29</v>
      </c>
      <c r="H26" s="2" t="n">
        <v>183318</v>
      </c>
      <c r="I26" s="2" t="n">
        <v>89.52</v>
      </c>
    </row>
    <row r="27" customFormat="false" ht="15.75" hidden="false" customHeight="false" outlineLevel="0" collapsed="false">
      <c r="A27" s="2" t="s">
        <v>34</v>
      </c>
      <c r="B27" s="2" t="n">
        <v>203149</v>
      </c>
      <c r="C27" s="2" t="n">
        <v>189319</v>
      </c>
      <c r="D27" s="2" t="n">
        <v>93.19</v>
      </c>
      <c r="E27" s="2" t="n">
        <v>189097</v>
      </c>
      <c r="F27" s="2" t="n">
        <v>185908</v>
      </c>
      <c r="G27" s="2" t="n">
        <v>91.51</v>
      </c>
      <c r="H27" s="2" t="n">
        <v>183825</v>
      </c>
      <c r="I27" s="2" t="n">
        <v>90.49</v>
      </c>
    </row>
    <row r="28" customFormat="false" ht="15.75" hidden="false" customHeight="false" outlineLevel="0" collapsed="false">
      <c r="A28" s="2" t="s">
        <v>35</v>
      </c>
      <c r="B28" s="2" t="n">
        <v>203021</v>
      </c>
      <c r="C28" s="2" t="n">
        <v>190708</v>
      </c>
      <c r="D28" s="2" t="n">
        <v>93.94</v>
      </c>
      <c r="E28" s="2" t="n">
        <v>190596</v>
      </c>
      <c r="F28" s="2" t="n">
        <v>189775</v>
      </c>
      <c r="G28" s="2" t="n">
        <v>93.48</v>
      </c>
      <c r="H28" s="2" t="n">
        <v>188437</v>
      </c>
      <c r="I28" s="2" t="n">
        <v>92.82</v>
      </c>
    </row>
    <row r="29" customFormat="false" ht="15.75" hidden="false" customHeight="false" outlineLevel="0" collapsed="false">
      <c r="A29" s="2" t="s">
        <v>36</v>
      </c>
      <c r="B29" s="2" t="n">
        <v>206352</v>
      </c>
      <c r="C29" s="2" t="n">
        <v>190605</v>
      </c>
      <c r="D29" s="2" t="n">
        <v>92.37</v>
      </c>
      <c r="E29" s="2" t="n">
        <v>190132</v>
      </c>
      <c r="F29" s="2" t="n">
        <v>184238</v>
      </c>
      <c r="G29" s="2" t="n">
        <v>89.28</v>
      </c>
      <c r="H29" s="2" t="n">
        <v>183215</v>
      </c>
      <c r="I29" s="2" t="n">
        <v>88.79</v>
      </c>
    </row>
    <row r="30" customFormat="false" ht="15.75" hidden="false" customHeight="false" outlineLevel="0" collapsed="false">
      <c r="A30" s="2" t="s">
        <v>37</v>
      </c>
      <c r="B30" s="2" t="n">
        <v>207218</v>
      </c>
      <c r="C30" s="2" t="n">
        <v>192149</v>
      </c>
      <c r="D30" s="2" t="n">
        <v>92.73</v>
      </c>
      <c r="E30" s="2" t="n">
        <v>191729</v>
      </c>
      <c r="F30" s="2" t="n">
        <v>190198</v>
      </c>
      <c r="G30" s="2" t="n">
        <v>91.79</v>
      </c>
      <c r="H30" s="2" t="n">
        <v>184966</v>
      </c>
      <c r="I30" s="2" t="n">
        <v>89.26</v>
      </c>
    </row>
    <row r="31" customFormat="false" ht="15.75" hidden="false" customHeight="false" outlineLevel="0" collapsed="false">
      <c r="A31" s="2" t="s">
        <v>38</v>
      </c>
      <c r="B31" s="2" t="n">
        <v>206598</v>
      </c>
      <c r="C31" s="2" t="n">
        <v>189747</v>
      </c>
      <c r="D31" s="2" t="n">
        <v>91.84</v>
      </c>
      <c r="E31" s="2" t="n">
        <v>189116</v>
      </c>
      <c r="F31" s="2" t="n">
        <v>187886</v>
      </c>
      <c r="G31" s="2" t="n">
        <v>90.94</v>
      </c>
      <c r="H31" s="2" t="n">
        <v>184516</v>
      </c>
      <c r="I31" s="2" t="n">
        <v>89.31</v>
      </c>
    </row>
    <row r="32" customFormat="false" ht="15.75" hidden="false" customHeight="false" outlineLevel="0" collapsed="false">
      <c r="A32" s="2" t="s">
        <v>39</v>
      </c>
      <c r="B32" s="2" t="n">
        <v>202943</v>
      </c>
      <c r="C32" s="2" t="n">
        <v>185275</v>
      </c>
      <c r="D32" s="2" t="n">
        <v>91.29</v>
      </c>
      <c r="E32" s="2" t="n">
        <v>184813</v>
      </c>
      <c r="F32" s="2" t="n">
        <v>182546</v>
      </c>
      <c r="G32" s="2" t="n">
        <v>89.95</v>
      </c>
      <c r="H32" s="2" t="n">
        <v>177096</v>
      </c>
      <c r="I32" s="2" t="n">
        <v>87.26</v>
      </c>
    </row>
    <row r="33" customFormat="false" ht="15.75" hidden="false" customHeight="false" outlineLevel="0" collapsed="false">
      <c r="A33" s="1" t="s">
        <v>40</v>
      </c>
      <c r="B33" s="1" t="n">
        <f aca="false">SUM(B3:B32)</f>
        <v>6122935</v>
      </c>
      <c r="C33" s="1" t="n">
        <f aca="false">SUM(C3:C32)</f>
        <v>5647546</v>
      </c>
      <c r="D33" s="1" t="n">
        <f aca="false">ROUND(C33/B33*100,2)</f>
        <v>92.24</v>
      </c>
      <c r="E33" s="1" t="n">
        <f aca="false">SUM(E3:E32)</f>
        <v>5630455</v>
      </c>
      <c r="F33" s="1" t="n">
        <f aca="false">SUM(F3:F32)</f>
        <v>5527019</v>
      </c>
      <c r="G33" s="1" t="n">
        <f aca="false">ROUND(F33/B33*100,2)</f>
        <v>90.27</v>
      </c>
      <c r="H33" s="1" t="n">
        <f aca="false">SUM(H3:H32)</f>
        <v>5180093</v>
      </c>
      <c r="I33" s="1" t="n">
        <f aca="false">ROUND(H33/B33*100,2)</f>
        <v>84.6</v>
      </c>
    </row>
    <row r="34" customFormat="false" ht="15.75" hidden="false" customHeight="false" outlineLevel="0" collapsed="false">
      <c r="A34" s="3"/>
      <c r="B34" s="3"/>
      <c r="C34" s="3"/>
    </row>
    <row r="35" customFormat="false" ht="15.75" hidden="false" customHeight="false" outlineLevel="0" collapsed="false">
      <c r="A35" s="3"/>
      <c r="B35" s="3"/>
      <c r="C35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2025-11-21T02:15:09Z</dcterms:created>
  <dc:creator>Alongkorn Nonthapa</dc:creator>
  <dc:description/>
  <dc:language>en-US</dc:language>
  <cp:lastModifiedBy>Alongkorn Nonthapa</cp:lastModifiedBy>
  <dcterms:modified xsi:type="dcterms:W3CDTF">2026-09-27T11:36:45Z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